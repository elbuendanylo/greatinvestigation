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T02\Desktop\Trabajos DRVA\Archivos Programados\"/>
    </mc:Choice>
  </mc:AlternateContent>
  <bookViews>
    <workbookView xWindow="0" yWindow="0" windowWidth="20490" windowHeight="6450"/>
  </bookViews>
  <sheets>
    <sheet name="Hoja1" sheetId="1" r:id="rId1"/>
  </sheets>
  <calcPr calcId="162913" iterate="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1" i="1" l="1"/>
  <c r="D41" i="1"/>
  <c r="C41" i="1"/>
  <c r="B41" i="1"/>
  <c r="E30" i="1"/>
  <c r="E31" i="1" s="1"/>
  <c r="D30" i="1"/>
  <c r="D31" i="1" s="1"/>
  <c r="C30" i="1"/>
  <c r="C31" i="1" s="1"/>
  <c r="B30" i="1"/>
  <c r="B31" i="1" s="1"/>
  <c r="E14" i="1"/>
  <c r="D14" i="1"/>
  <c r="C14" i="1"/>
  <c r="B14" i="1"/>
  <c r="E7" i="1"/>
  <c r="E8" i="1" s="1"/>
  <c r="D7" i="1"/>
  <c r="D8" i="1" s="1"/>
  <c r="C7" i="1"/>
  <c r="C16" i="1" s="1"/>
  <c r="B7" i="1"/>
  <c r="B16" i="1" s="1"/>
  <c r="B40" i="1" l="1"/>
  <c r="B42" i="1" s="1"/>
  <c r="B43" i="1" s="1"/>
  <c r="B17" i="1"/>
  <c r="B20" i="1"/>
  <c r="C40" i="1"/>
  <c r="C42" i="1" s="1"/>
  <c r="C43" i="1" s="1"/>
  <c r="C20" i="1"/>
  <c r="C17" i="1"/>
  <c r="D16" i="1"/>
  <c r="B8" i="1"/>
  <c r="C8" i="1"/>
  <c r="E16" i="1"/>
  <c r="C33" i="1" l="1"/>
  <c r="C37" i="1" s="1"/>
  <c r="C38" i="1" s="1"/>
  <c r="C21" i="1"/>
  <c r="B33" i="1"/>
  <c r="B37" i="1" s="1"/>
  <c r="B38" i="1" s="1"/>
  <c r="B21" i="1"/>
  <c r="D17" i="1"/>
  <c r="D20" i="1"/>
  <c r="D40" i="1"/>
  <c r="D42" i="1" s="1"/>
  <c r="D43" i="1" s="1"/>
  <c r="E17" i="1"/>
  <c r="E20" i="1"/>
  <c r="E40" i="1"/>
  <c r="E42" i="1" s="1"/>
  <c r="E43" i="1" s="1"/>
  <c r="E21" i="1" l="1"/>
  <c r="E33" i="1"/>
  <c r="E37" i="1" s="1"/>
  <c r="E38" i="1" s="1"/>
  <c r="D33" i="1"/>
  <c r="D37" i="1" s="1"/>
  <c r="D38" i="1" s="1"/>
  <c r="D21" i="1"/>
</calcChain>
</file>

<file path=xl/sharedStrings.xml><?xml version="1.0" encoding="utf-8"?>
<sst xmlns="http://schemas.openxmlformats.org/spreadsheetml/2006/main" count="40" uniqueCount="36">
  <si>
    <t>ESTADO RESULTADOS</t>
  </si>
  <si>
    <t>(S/ 000)</t>
  </si>
  <si>
    <t>Ventas Netas</t>
  </si>
  <si>
    <t>Costo de Ventas</t>
  </si>
  <si>
    <t>Utilidad Bruta</t>
  </si>
  <si>
    <t>% de Margen Bruto</t>
  </si>
  <si>
    <t>Flete</t>
  </si>
  <si>
    <t>Gasto de Venta</t>
  </si>
  <si>
    <t>Gasto de Administracion</t>
  </si>
  <si>
    <t>Subtotal Gastos</t>
  </si>
  <si>
    <t>(%) Sobre Ventas Netas</t>
  </si>
  <si>
    <t>Otros Neto</t>
  </si>
  <si>
    <t>Utilidad Operativa sin NIC41</t>
  </si>
  <si>
    <t>% Margen Operativo sin NIC 41</t>
  </si>
  <si>
    <t>NIC 2</t>
  </si>
  <si>
    <t>NIC 41</t>
  </si>
  <si>
    <t>Utilidad Operativa</t>
  </si>
  <si>
    <t>% de Margen Operativo</t>
  </si>
  <si>
    <t>Otros Ing/(Egresos)</t>
  </si>
  <si>
    <t>Ingreso Por Dividendos/VPP</t>
  </si>
  <si>
    <t>Ingresos Financieros</t>
  </si>
  <si>
    <t>Gastos Financieros</t>
  </si>
  <si>
    <t>Var Valor Adq Constante</t>
  </si>
  <si>
    <t>Diferencia de cambio/R.E.I.</t>
  </si>
  <si>
    <t>Fluctuación de valores</t>
  </si>
  <si>
    <t>Total Otros Ing/(Egresos)</t>
  </si>
  <si>
    <t xml:space="preserve"> </t>
  </si>
  <si>
    <t>Utilidad antes de Impuestos</t>
  </si>
  <si>
    <t>Impuesto a la Renta</t>
  </si>
  <si>
    <t>Utilidad Neta</t>
  </si>
  <si>
    <t>Margen Neto (%)</t>
  </si>
  <si>
    <t>Utilidad Operativa sin NIC</t>
  </si>
  <si>
    <t>Depreciación/Amortización</t>
  </si>
  <si>
    <t>EBITDA</t>
  </si>
  <si>
    <t>EBITDA%</t>
  </si>
  <si>
    <t>LAPUPOL SAC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</si>
</sst>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S/&quot;\ #,##0;[Red]\-&quot;S/&quot;\ #,##0"/>
    <numFmt numFmtId="165" formatCode="#,##0;\(#,##0\)"/>
    <numFmt numFmtId="166" formatCode="0.0%"/>
  </numFmts>
  <fonts count="8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/>
    <xf numFmtId="0" fontId="1" fillId="0" borderId="0" xfId="0" applyFont="1" applyAlignment="1">
      <alignment vertical="center"/>
    </xf>
    <xf numFmtId="164" fontId="2" fillId="2" borderId="1" xfId="1" quotePrefix="1" applyNumberFormat="1" applyFont="1" applyFill="1" applyBorder="1" applyAlignment="1">
      <alignment vertic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center"/>
    </xf>
    <xf numFmtId="0" fontId="4" fillId="3" borderId="1" xfId="1" applyFont="1" applyFill="1" applyBorder="1" applyAlignment="1"/>
    <xf numFmtId="165" fontId="4" fillId="0" borderId="1" xfId="2" applyNumberFormat="1" applyFont="1" applyFill="1" applyBorder="1" applyAlignment="1"/>
    <xf numFmtId="0" fontId="4" fillId="3" borderId="3" xfId="1" applyFont="1" applyFill="1" applyBorder="1" applyAlignment="1"/>
    <xf numFmtId="165" fontId="4" fillId="0" borderId="3" xfId="2" applyNumberFormat="1" applyFont="1" applyFill="1" applyBorder="1" applyAlignment="1"/>
    <xf numFmtId="0" fontId="5" fillId="3" borderId="4" xfId="1" applyFont="1" applyFill="1" applyBorder="1" applyAlignment="1"/>
    <xf numFmtId="165" fontId="5" fillId="0" borderId="4" xfId="2" applyNumberFormat="1" applyFont="1" applyFill="1" applyBorder="1" applyAlignment="1"/>
    <xf numFmtId="166" fontId="5" fillId="3" borderId="3" xfId="1" applyNumberFormat="1" applyFont="1" applyFill="1" applyBorder="1" applyAlignment="1"/>
    <xf numFmtId="166" fontId="4" fillId="0" borderId="3" xfId="3" applyNumberFormat="1" applyFont="1" applyFill="1" applyBorder="1" applyAlignment="1"/>
    <xf numFmtId="0" fontId="5" fillId="3" borderId="3" xfId="1" applyFont="1" applyFill="1" applyBorder="1" applyAlignment="1"/>
    <xf numFmtId="165" fontId="4" fillId="0" borderId="3" xfId="1" applyNumberFormat="1" applyFont="1" applyFill="1" applyBorder="1" applyAlignment="1"/>
    <xf numFmtId="166" fontId="4" fillId="3" borderId="3" xfId="1" applyNumberFormat="1" applyFont="1" applyFill="1" applyBorder="1" applyAlignment="1"/>
    <xf numFmtId="0" fontId="4" fillId="3" borderId="2" xfId="1" applyFont="1" applyFill="1" applyBorder="1" applyAlignment="1"/>
    <xf numFmtId="165" fontId="4" fillId="0" borderId="2" xfId="2" applyNumberFormat="1" applyFont="1" applyFill="1" applyBorder="1" applyAlignment="1"/>
    <xf numFmtId="0" fontId="4" fillId="3" borderId="4" xfId="1" applyFont="1" applyFill="1" applyBorder="1" applyAlignment="1"/>
    <xf numFmtId="165" fontId="4" fillId="0" borderId="4" xfId="2" applyNumberFormat="1" applyFont="1" applyFill="1" applyBorder="1" applyAlignment="1"/>
    <xf numFmtId="0" fontId="6" fillId="3" borderId="3" xfId="1" applyFont="1" applyFill="1" applyBorder="1" applyAlignment="1"/>
    <xf numFmtId="165" fontId="4" fillId="4" borderId="4" xfId="2" applyNumberFormat="1" applyFont="1" applyFill="1" applyBorder="1" applyAlignment="1"/>
    <xf numFmtId="166" fontId="4" fillId="4" borderId="3" xfId="3" applyNumberFormat="1" applyFont="1" applyFill="1" applyBorder="1" applyAlignment="1"/>
    <xf numFmtId="165" fontId="5" fillId="4" borderId="4" xfId="2" applyNumberFormat="1" applyFont="1" applyFill="1" applyBorder="1" applyAlignment="1"/>
    <xf numFmtId="166" fontId="5" fillId="3" borderId="4" xfId="1" applyNumberFormat="1" applyFont="1" applyFill="1" applyBorder="1" applyAlignment="1"/>
    <xf numFmtId="166" fontId="4" fillId="4" borderId="4" xfId="3" applyNumberFormat="1" applyFont="1" applyFill="1" applyBorder="1" applyAlignment="1"/>
    <xf numFmtId="0" fontId="5" fillId="0" borderId="0" xfId="1" applyFont="1" applyFill="1" applyBorder="1" applyAlignment="1"/>
    <xf numFmtId="165" fontId="7" fillId="0" borderId="0" xfId="1" applyNumberFormat="1" applyFont="1" applyFill="1" applyBorder="1" applyAlignment="1"/>
  </cellXfs>
  <cellStyles count="4">
    <cellStyle name="Diseño" xfId="1"/>
    <cellStyle name="Diseño 2" xfId="2"/>
    <cellStyle name="Normal" xfId="0" builtinId="0"/>
    <cellStyle name="Porcentaje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390526</xdr:colOff>
          <xdr:row>0</xdr:row>
          <xdr:rowOff>0</xdr:rowOff>
        </xdr:from>
        <xdr:to>
          <xdr:col>4</xdr:col>
          <xdr:colOff>485776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43"/>
  <sheetViews>
    <sheetView tabSelected="1" workbookViewId="0">
      <selection activeCell="G8" sqref="G8"/>
    </sheetView>
  </sheetViews>
  <sheetFormatPr baseColWidth="10" defaultRowHeight="15" x14ac:dyDescent="0.25"/>
  <cols>
    <col min="1" max="1" width="32.7109375" customWidth="1"/>
  </cols>
  <sheetData>
    <row r="1" spans="1:14" ht="27" customHeight="1" x14ac:dyDescent="0.25">
      <c r="A1" s="2" t="s">
        <v>35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"/>
    </row>
    <row r="2" spans="1:14" ht="1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  <row r="3" spans="1:14" ht="15" customHeight="1" x14ac:dyDescent="0.25">
      <c r="A3" s="3" t="s">
        <v>0</v>
      </c>
      <c r="B3" s="4"/>
      <c r="C3" s="4"/>
      <c r="D3" s="4"/>
      <c r="E3" s="4"/>
      <c r="F3" s="2"/>
      <c r="G3" s="2"/>
      <c r="H3" s="2"/>
      <c r="I3" s="2"/>
      <c r="J3" s="2"/>
      <c r="K3" s="2"/>
      <c r="L3" s="2"/>
      <c r="M3" s="2"/>
      <c r="N3" s="1"/>
    </row>
    <row r="4" spans="1:14" x14ac:dyDescent="0.25">
      <c r="A4" s="5" t="s">
        <v>1</v>
      </c>
      <c r="B4" s="6"/>
      <c r="C4" s="6"/>
      <c r="D4" s="6"/>
      <c r="E4" s="6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7" t="s">
        <v>2</v>
      </c>
      <c r="B5" s="8"/>
      <c r="C5" s="8"/>
      <c r="D5" s="8"/>
      <c r="E5" s="8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9" t="s">
        <v>3</v>
      </c>
      <c r="B6" s="10"/>
      <c r="C6" s="10"/>
      <c r="D6" s="10"/>
      <c r="E6" s="10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1" t="s">
        <v>4</v>
      </c>
      <c r="B7" s="12">
        <f t="shared" ref="B7:E7" si="0">+B5-B6</f>
        <v>0</v>
      </c>
      <c r="C7" s="12">
        <f t="shared" si="0"/>
        <v>0</v>
      </c>
      <c r="D7" s="12">
        <f t="shared" si="0"/>
        <v>0</v>
      </c>
      <c r="E7" s="12">
        <f t="shared" si="0"/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3" t="s">
        <v>5</v>
      </c>
      <c r="B8" s="14">
        <f t="shared" ref="B8:E8" si="1">IFERROR(B7/B5,0)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5"/>
      <c r="B9" s="16"/>
      <c r="C9" s="16"/>
      <c r="D9" s="16"/>
      <c r="E9" s="16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9" t="s">
        <v>6</v>
      </c>
      <c r="B10" s="16"/>
      <c r="C10" s="16"/>
      <c r="D10" s="16"/>
      <c r="E10" s="16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9" t="s">
        <v>7</v>
      </c>
      <c r="B11" s="10"/>
      <c r="C11" s="10"/>
      <c r="D11" s="10"/>
      <c r="E11" s="10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9" t="s">
        <v>8</v>
      </c>
      <c r="B12" s="10"/>
      <c r="C12" s="10"/>
      <c r="D12" s="10"/>
      <c r="E12" s="10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9" t="s">
        <v>9</v>
      </c>
      <c r="B13" s="10"/>
      <c r="C13" s="10"/>
      <c r="D13" s="10"/>
      <c r="E13" s="10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7" t="s">
        <v>10</v>
      </c>
      <c r="B14" s="14">
        <f t="shared" ref="B14:E14" si="2">IFERROR(B13/B5,0)</f>
        <v>0</v>
      </c>
      <c r="C14" s="14">
        <f t="shared" si="2"/>
        <v>0</v>
      </c>
      <c r="D14" s="14">
        <f t="shared" si="2"/>
        <v>0</v>
      </c>
      <c r="E14" s="14">
        <f t="shared" si="2"/>
        <v>0</v>
      </c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8" t="s">
        <v>11</v>
      </c>
      <c r="B15" s="19"/>
      <c r="C15" s="19"/>
      <c r="D15" s="19"/>
      <c r="E15" s="19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20" t="s">
        <v>12</v>
      </c>
      <c r="B16" s="21">
        <f t="shared" ref="B16:E16" si="3">+B7-B13+B15</f>
        <v>0</v>
      </c>
      <c r="C16" s="21">
        <f t="shared" si="3"/>
        <v>0</v>
      </c>
      <c r="D16" s="21">
        <f t="shared" si="3"/>
        <v>0</v>
      </c>
      <c r="E16" s="21">
        <f t="shared" si="3"/>
        <v>0</v>
      </c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7" t="s">
        <v>13</v>
      </c>
      <c r="B17" s="14">
        <f t="shared" ref="B17:E17" si="4">IFERROR(B16/B5,0)</f>
        <v>0</v>
      </c>
      <c r="C17" s="14">
        <f t="shared" si="4"/>
        <v>0</v>
      </c>
      <c r="D17" s="14">
        <f t="shared" si="4"/>
        <v>0</v>
      </c>
      <c r="E17" s="14">
        <f t="shared" si="4"/>
        <v>0</v>
      </c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9" t="s">
        <v>14</v>
      </c>
      <c r="B18" s="10"/>
      <c r="C18" s="10"/>
      <c r="D18" s="10"/>
      <c r="E18" s="10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9" t="s">
        <v>15</v>
      </c>
      <c r="B19" s="10"/>
      <c r="C19" s="10"/>
      <c r="D19" s="10"/>
      <c r="E19" s="10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1" t="s">
        <v>16</v>
      </c>
      <c r="B20" s="12">
        <f t="shared" ref="B20:E20" si="5">+B16+SUM(B18:B19)</f>
        <v>0</v>
      </c>
      <c r="C20" s="12">
        <f t="shared" si="5"/>
        <v>0</v>
      </c>
      <c r="D20" s="12">
        <f t="shared" si="5"/>
        <v>0</v>
      </c>
      <c r="E20" s="12">
        <f t="shared" si="5"/>
        <v>0</v>
      </c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3" t="s">
        <v>17</v>
      </c>
      <c r="B21" s="14">
        <f t="shared" ref="B21:E21" si="6">IFERROR(B20/B5,0)</f>
        <v>0</v>
      </c>
      <c r="C21" s="14">
        <f t="shared" si="6"/>
        <v>0</v>
      </c>
      <c r="D21" s="14">
        <f t="shared" si="6"/>
        <v>0</v>
      </c>
      <c r="E21" s="14">
        <f t="shared" si="6"/>
        <v>0</v>
      </c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5"/>
      <c r="B22" s="10"/>
      <c r="C22" s="10"/>
      <c r="D22" s="10"/>
      <c r="E22" s="10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22" t="s">
        <v>18</v>
      </c>
      <c r="B23" s="10"/>
      <c r="C23" s="10"/>
      <c r="D23" s="10"/>
      <c r="E23" s="10"/>
    </row>
    <row r="24" spans="1:14" x14ac:dyDescent="0.25">
      <c r="A24" s="9" t="s">
        <v>19</v>
      </c>
      <c r="B24" s="10"/>
      <c r="C24" s="10"/>
      <c r="D24" s="10"/>
      <c r="E24" s="10"/>
    </row>
    <row r="25" spans="1:14" x14ac:dyDescent="0.25">
      <c r="A25" s="9" t="s">
        <v>20</v>
      </c>
      <c r="B25" s="10"/>
      <c r="C25" s="10"/>
      <c r="D25" s="10"/>
      <c r="E25" s="10"/>
    </row>
    <row r="26" spans="1:14" x14ac:dyDescent="0.25">
      <c r="A26" s="9" t="s">
        <v>21</v>
      </c>
      <c r="B26" s="10"/>
      <c r="C26" s="10"/>
      <c r="D26" s="10"/>
      <c r="E26" s="10"/>
    </row>
    <row r="27" spans="1:14" x14ac:dyDescent="0.25">
      <c r="A27" s="9" t="s">
        <v>22</v>
      </c>
      <c r="B27" s="10"/>
      <c r="C27" s="10"/>
      <c r="D27" s="10"/>
      <c r="E27" s="10"/>
    </row>
    <row r="28" spans="1:14" x14ac:dyDescent="0.25">
      <c r="A28" s="9" t="s">
        <v>23</v>
      </c>
      <c r="B28" s="10"/>
      <c r="C28" s="10"/>
      <c r="D28" s="10"/>
      <c r="E28" s="10"/>
    </row>
    <row r="29" spans="1:14" x14ac:dyDescent="0.25">
      <c r="A29" s="9" t="s">
        <v>24</v>
      </c>
      <c r="B29" s="10"/>
      <c r="C29" s="10"/>
      <c r="D29" s="10"/>
      <c r="E29" s="10"/>
    </row>
    <row r="30" spans="1:14" x14ac:dyDescent="0.25">
      <c r="A30" s="20" t="s">
        <v>25</v>
      </c>
      <c r="B30" s="23">
        <f t="shared" ref="B30:E30" si="7">SUM(B24:B29)</f>
        <v>0</v>
      </c>
      <c r="C30" s="23">
        <f t="shared" si="7"/>
        <v>0</v>
      </c>
      <c r="D30" s="23">
        <f t="shared" si="7"/>
        <v>0</v>
      </c>
      <c r="E30" s="23">
        <f t="shared" si="7"/>
        <v>0</v>
      </c>
    </row>
    <row r="31" spans="1:14" x14ac:dyDescent="0.25">
      <c r="A31" s="17" t="s">
        <v>10</v>
      </c>
      <c r="B31" s="24">
        <f t="shared" ref="B31:E31" si="8">IFERROR(B30/B5,0)</f>
        <v>0</v>
      </c>
      <c r="C31" s="24">
        <f t="shared" si="8"/>
        <v>0</v>
      </c>
      <c r="D31" s="24">
        <f t="shared" si="8"/>
        <v>0</v>
      </c>
      <c r="E31" s="24">
        <f t="shared" si="8"/>
        <v>0</v>
      </c>
    </row>
    <row r="32" spans="1:14" x14ac:dyDescent="0.25">
      <c r="A32" s="15"/>
      <c r="B32" s="10" t="s">
        <v>26</v>
      </c>
      <c r="C32" s="10" t="s">
        <v>26</v>
      </c>
      <c r="D32" s="10" t="s">
        <v>26</v>
      </c>
      <c r="E32" s="10" t="s">
        <v>26</v>
      </c>
    </row>
    <row r="33" spans="1:5" x14ac:dyDescent="0.25">
      <c r="A33" s="11" t="s">
        <v>27</v>
      </c>
      <c r="B33" s="25">
        <f t="shared" ref="B33:E33" si="9">+B20+B30</f>
        <v>0</v>
      </c>
      <c r="C33" s="25">
        <f t="shared" si="9"/>
        <v>0</v>
      </c>
      <c r="D33" s="25">
        <f t="shared" si="9"/>
        <v>0</v>
      </c>
      <c r="E33" s="25">
        <f t="shared" si="9"/>
        <v>0</v>
      </c>
    </row>
    <row r="34" spans="1:5" x14ac:dyDescent="0.25">
      <c r="A34" s="15"/>
      <c r="B34" s="10"/>
      <c r="C34" s="10"/>
      <c r="D34" s="10"/>
      <c r="E34" s="10"/>
    </row>
    <row r="35" spans="1:5" x14ac:dyDescent="0.25">
      <c r="A35" s="9" t="s">
        <v>28</v>
      </c>
      <c r="B35" s="10"/>
      <c r="C35" s="10"/>
      <c r="D35" s="10"/>
      <c r="E35" s="10"/>
    </row>
    <row r="36" spans="1:5" x14ac:dyDescent="0.25">
      <c r="A36" s="15"/>
      <c r="B36" s="10"/>
      <c r="C36" s="10"/>
      <c r="D36" s="10"/>
      <c r="E36" s="10"/>
    </row>
    <row r="37" spans="1:5" x14ac:dyDescent="0.25">
      <c r="A37" s="11" t="s">
        <v>29</v>
      </c>
      <c r="B37" s="25">
        <f t="shared" ref="B37:E37" si="10">+B33-B35</f>
        <v>0</v>
      </c>
      <c r="C37" s="25">
        <f t="shared" si="10"/>
        <v>0</v>
      </c>
      <c r="D37" s="25">
        <f t="shared" si="10"/>
        <v>0</v>
      </c>
      <c r="E37" s="25">
        <f t="shared" si="10"/>
        <v>0</v>
      </c>
    </row>
    <row r="38" spans="1:5" x14ac:dyDescent="0.25">
      <c r="A38" s="26" t="s">
        <v>30</v>
      </c>
      <c r="B38" s="27">
        <f t="shared" ref="B38:E38" si="11">IFERROR(B37/B5,0)</f>
        <v>0</v>
      </c>
      <c r="C38" s="27">
        <f t="shared" si="11"/>
        <v>0</v>
      </c>
      <c r="D38" s="27">
        <f t="shared" si="11"/>
        <v>0</v>
      </c>
      <c r="E38" s="27">
        <f t="shared" si="11"/>
        <v>0</v>
      </c>
    </row>
    <row r="39" spans="1:5" x14ac:dyDescent="0.25">
      <c r="A39" s="28"/>
      <c r="B39" s="29"/>
      <c r="C39" s="29"/>
      <c r="D39" s="29"/>
      <c r="E39" s="29"/>
    </row>
    <row r="40" spans="1:5" x14ac:dyDescent="0.25">
      <c r="A40" s="7" t="s">
        <v>31</v>
      </c>
      <c r="B40" s="8">
        <f t="shared" ref="B40:E40" si="12">+B16</f>
        <v>0</v>
      </c>
      <c r="C40" s="8">
        <f t="shared" si="12"/>
        <v>0</v>
      </c>
      <c r="D40" s="8">
        <f t="shared" si="12"/>
        <v>0</v>
      </c>
      <c r="E40" s="8">
        <f t="shared" si="12"/>
        <v>0</v>
      </c>
    </row>
    <row r="41" spans="1:5" x14ac:dyDescent="0.25">
      <c r="A41" s="18" t="s">
        <v>32</v>
      </c>
      <c r="B41" s="19">
        <f>475+91488+1539</f>
        <v>93502</v>
      </c>
      <c r="C41" s="19">
        <f>1058+90268+1312+883</f>
        <v>93521</v>
      </c>
      <c r="D41" s="19">
        <f>841+96238+981+675</f>
        <v>98735</v>
      </c>
      <c r="E41" s="19">
        <f>95672.64593+513.14796</f>
        <v>96185.793890000001</v>
      </c>
    </row>
    <row r="42" spans="1:5" x14ac:dyDescent="0.25">
      <c r="A42" s="11" t="s">
        <v>33</v>
      </c>
      <c r="B42" s="25">
        <f t="shared" ref="B42:E42" si="13">SUM(B40:B41)</f>
        <v>93502</v>
      </c>
      <c r="C42" s="25">
        <f t="shared" si="13"/>
        <v>93521</v>
      </c>
      <c r="D42" s="25">
        <f t="shared" si="13"/>
        <v>98735</v>
      </c>
      <c r="E42" s="25">
        <f t="shared" si="13"/>
        <v>96185.793890000001</v>
      </c>
    </row>
    <row r="43" spans="1:5" x14ac:dyDescent="0.25">
      <c r="A43" s="11" t="s">
        <v>34</v>
      </c>
      <c r="B43" s="27">
        <f t="shared" ref="B43:E43" si="14">IFERROR(B42/B5,0)</f>
        <v>0</v>
      </c>
      <c r="C43" s="27">
        <f t="shared" si="14"/>
        <v>0</v>
      </c>
      <c r="D43" s="27">
        <f t="shared" si="14"/>
        <v>0</v>
      </c>
      <c r="E43" s="27">
        <f t="shared" si="14"/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390525</xdr:colOff>
                <xdr:row>0</xdr:row>
                <xdr:rowOff>0</xdr:rowOff>
              </from>
              <to>
                <xdr:col>4</xdr:col>
                <xdr:colOff>485775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GT02</dc:creator>
  <cp:lastModifiedBy>GT02</cp:lastModifiedBy>
  <dcterms:created xsi:type="dcterms:W3CDTF">2021-08-14T14:07:01Z</dcterms:created>
  <dcterms:modified xsi:type="dcterms:W3CDTF">2021-08-14T19:09:37Z</dcterms:modified>
</cp:coreProperties>
</file>